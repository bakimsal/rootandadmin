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Araçlar" sheetId="2" state="visible" r:id="rId4"/>
    <sheet name="Özellikl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<sst xmlns="http://schemas.openxmlformats.org/spreadsheetml/2006/main" count="329" uniqueCount="154">
  <si>
    <t xml:space="preserve">rootandadmin — İlk Sürüm Planı (4 hafta)</t>
  </si>
  <si>
    <t xml:space="preserve">Başlangıç 12 Ekim 2026, hedef yayın 8 Kasım 2026. Varsayım: ikiniz yarı zamanlı çalışıyorsunuz ve kodlamada Claude destek veriyor. Rol dağılımı öneridir, değiştirilebilir.</t>
  </si>
  <si>
    <t xml:space="preserve">#</t>
  </si>
  <si>
    <t xml:space="preserve">Faz</t>
  </si>
  <si>
    <t xml:space="preserve">Görev</t>
  </si>
  <si>
    <t xml:space="preserve">Sorumlu</t>
  </si>
  <si>
    <t xml:space="preserve">Başlangıç</t>
  </si>
  <si>
    <t xml:space="preserve">Bitiş</t>
  </si>
  <si>
    <t xml:space="preserve">Gün</t>
  </si>
  <si>
    <t xml:space="preserve">Bağımlı (#)</t>
  </si>
  <si>
    <t xml:space="preserve">Durum</t>
  </si>
  <si>
    <t xml:space="preserve">H1</t>
  </si>
  <si>
    <t xml:space="preserve">H2</t>
  </si>
  <si>
    <t xml:space="preserve">H3</t>
  </si>
  <si>
    <t xml:space="preserve">H4</t>
  </si>
  <si>
    <t xml:space="preserve">1 · Kurulum</t>
  </si>
  <si>
    <t xml:space="preserve">GitHub reposu, klasör yapısı (frontend/ backend/), branch kuralları</t>
  </si>
  <si>
    <t xml:space="preserve">İkisi</t>
  </si>
  <si>
    <t xml:space="preserve">Yapılacak</t>
  </si>
  <si>
    <t xml:space="preserve">GitHub Project panosu ve görevlerin issue olarak açılması</t>
  </si>
  <si>
    <t xml:space="preserve">1</t>
  </si>
  <si>
    <t xml:space="preserve">Hesaplar: Vercel, Render, Neon, Cloudinary</t>
  </si>
  <si>
    <t xml:space="preserve">API sözleşmesi ve veri modeli (Yazı, Yazar, Kategori, Etiket, Kullanıcı)</t>
  </si>
  <si>
    <t xml:space="preserve">Tasarım yönü seçimi (Claude 2–3 yön hazırlar)</t>
  </si>
  <si>
    <t xml:space="preserve">2 · Frontend</t>
  </si>
  <si>
    <t xml:space="preserve">Tasarım sistemi: renkler, tipografi, temel bileşenler</t>
  </si>
  <si>
    <t xml:space="preserve">Abdulbaki</t>
  </si>
  <si>
    <t xml:space="preserve">5</t>
  </si>
  <si>
    <t xml:space="preserve">Ana sayfa, yazı listesi, sayfalama (mock veri)</t>
  </si>
  <si>
    <t xml:space="preserve">6</t>
  </si>
  <si>
    <t xml:space="preserve">Yazı detay: Markdown, kod renklendirme, okuma süresi</t>
  </si>
  <si>
    <t xml:space="preserve">Kategori, etiket ve yazar sayfaları; arama arayüzü</t>
  </si>
  <si>
    <t xml:space="preserve">7</t>
  </si>
  <si>
    <t xml:space="preserve">Hakkımızda, iletişim, 404; mobil uyum</t>
  </si>
  <si>
    <t xml:space="preserve">Admin panel: giriş, yazı listesi, Markdown editör + önizleme, görsel yükleme</t>
  </si>
  <si>
    <t xml:space="preserve">2 · Backend</t>
  </si>
  <si>
    <t xml:space="preserve">Fastify iskeleti, Prisma şeması, Neon bağlantısı</t>
  </si>
  <si>
    <t xml:space="preserve">Buğra</t>
  </si>
  <si>
    <t xml:space="preserve">4</t>
  </si>
  <si>
    <t xml:space="preserve">Admin girişi: şifre hash, httpOnly cookie oturum</t>
  </si>
  <si>
    <t xml:space="preserve">12</t>
  </si>
  <si>
    <t xml:space="preserve">Yazı CRUD: slug, taslak/yayında/zamanlanmış, otomatik okuma süresi</t>
  </si>
  <si>
    <t xml:space="preserve">Kategori, etiket, yazar uç noktaları; sayfalama</t>
  </si>
  <si>
    <t xml:space="preserve">14</t>
  </si>
  <si>
    <t xml:space="preserve">Arama (PostgreSQL full-text)</t>
  </si>
  <si>
    <t xml:space="preserve">Cloudinary görsel yükleme uç noktası</t>
  </si>
  <si>
    <t xml:space="preserve">Doğrulama (Zod), hata yönetimi, temel testler</t>
  </si>
  <si>
    <t xml:space="preserve">3 · Birleştirme</t>
  </si>
  <si>
    <t xml:space="preserve">Mock verinin gerçek API ile değiştirilmesi</t>
  </si>
  <si>
    <t xml:space="preserve">11, 18</t>
  </si>
  <si>
    <t xml:space="preserve">SEO: meta etiketleri, sosyal önizleme görselleri, sitemap</t>
  </si>
  <si>
    <t xml:space="preserve">19</t>
  </si>
  <si>
    <t xml:space="preserve">Sayfaların önceden üretilmesi ve yayınlayınca yenilenmesi (ISR)</t>
  </si>
  <si>
    <t xml:space="preserve">Uçtan uca test: mobil, erişilebilirlik, admin akışları</t>
  </si>
  <si>
    <t xml:space="preserve">20, 21</t>
  </si>
  <si>
    <t xml:space="preserve">4 · Yayın</t>
  </si>
  <si>
    <t xml:space="preserve">Yayına alma: Vercel + Render, ortam değişkenleri</t>
  </si>
  <si>
    <t xml:space="preserve">22</t>
  </si>
  <si>
    <t xml:space="preserve">İlk içerikler (her biriniz en az 2 yazı)</t>
  </si>
  <si>
    <t xml:space="preserve">Son kontroller ve yayın</t>
  </si>
  <si>
    <t xml:space="preserve">23, 24</t>
  </si>
  <si>
    <t xml:space="preserve">Tamamlanan</t>
  </si>
  <si>
    <t xml:space="preserve">İlerleme</t>
  </si>
  <si>
    <t xml:space="preserve">Toplam</t>
  </si>
  <si>
    <t xml:space="preserve">Kural: her görev bir GitHub issue; her issue ayrı branch'te geliştirilir ve PR ile dev'e, haftalık olarak main'e birleştirilir. PR'ı diğer kişi onaylar.</t>
  </si>
  <si>
    <t xml:space="preserve">rootandadmin — Teknoloji Yığını (Kesinleşti)</t>
  </si>
  <si>
    <t xml:space="preserve">Kriter: ücretsiz ya da çok cüzi maliyet. Ücretsiz plan bilgileri 10.10.2026'da servislerin kendi sayfalarından kontrol edildi; değişebilir. Not sütunu ekip için.</t>
  </si>
  <si>
    <t xml:space="preserve">Katman</t>
  </si>
  <si>
    <t xml:space="preserve">Seçilen araç</t>
  </si>
  <si>
    <t xml:space="preserve">Neden</t>
  </si>
  <si>
    <t xml:space="preserve">Maliyet</t>
  </si>
  <si>
    <t xml:space="preserve">Karar</t>
  </si>
  <si>
    <t xml:space="preserve">Not</t>
  </si>
  <si>
    <t xml:space="preserve">Frontend</t>
  </si>
  <si>
    <t xml:space="preserve">Next.js + TypeScript</t>
  </si>
  <si>
    <t xml:space="preserve">SEO için sayfalar önceden üretilir (SSG/ISR); okuyucu backend'e beklemeden ulaşır.</t>
  </si>
  <si>
    <t xml:space="preserve">Ücretsiz (açık kaynak)</t>
  </si>
  <si>
    <t xml:space="preserve">Onaylandı</t>
  </si>
  <si>
    <t xml:space="preserve">Stil</t>
  </si>
  <si>
    <t xml:space="preserve">Tailwind CSS</t>
  </si>
  <si>
    <t xml:space="preserve">Hızlı, tutarlı ve tamamen özelleştirilebilir; şablon görünümünden kaçınmayı kolaylaştırır.</t>
  </si>
  <si>
    <t xml:space="preserve">İçerik editörü</t>
  </si>
  <si>
    <t xml:space="preserve">Markdown + admin panelde canlı önizleme; kod renklendirme için Shiki</t>
  </si>
  <si>
    <t xml:space="preserve">Teknik içerik için en pratik format; kod blokları doğal destekleniyor.</t>
  </si>
  <si>
    <t xml:space="preserve">Backend</t>
  </si>
  <si>
    <t xml:space="preserve">Node.js + TypeScript + Fastify (doğrulama: Zod)</t>
  </si>
  <si>
    <t xml:space="preserve">Frontend ile aynı dil, tipler paylaşılır. Fastify hafif; ücretsiz sunucuda az kaynak harcar.</t>
  </si>
  <si>
    <t xml:space="preserve">ORM</t>
  </si>
  <si>
    <t xml:space="preserve">Prisma</t>
  </si>
  <si>
    <t xml:space="preserve">Veritabanı şemasını kodla tanımlar, migration'ları yönetir.</t>
  </si>
  <si>
    <t xml:space="preserve">Veritabanı</t>
  </si>
  <si>
    <t xml:space="preserve">PostgreSQL — Neon Free</t>
  </si>
  <si>
    <t xml:space="preserve">Kart gerektirmez, süresiz. Proje başına 1 GB depolama; 5 dk boşta kalınca uyur (ilk istek biraz gecikir).</t>
  </si>
  <si>
    <t xml:space="preserve">Ücretsiz</t>
  </si>
  <si>
    <t xml:space="preserve">Render'ın ücretsiz Postgres'i 30 günde siliniyor; bu yüzden Neon seçildi.</t>
  </si>
  <si>
    <t xml:space="preserve">Görseller</t>
  </si>
  <si>
    <t xml:space="preserve">Cloudinary Free</t>
  </si>
  <si>
    <t xml:space="preserve">Kart gerektirmez, 3 kullanıcı. Ayda 25 kredi (1 kredi = 1 GB depolama veya 1 GB trafik veya 1.000 dönüşüm).</t>
  </si>
  <si>
    <t xml:space="preserve">Cloudflare R2 de ücretsiz kotalı ama kurulumda ödeme yöntemi istemesi muhtemel.</t>
  </si>
  <si>
    <t xml:space="preserve">Admin girişi</t>
  </si>
  <si>
    <t xml:space="preserve">Kendi auth'umuz: argon2/bcrypt şifre + httpOnly cookie</t>
  </si>
  <si>
    <t xml:space="preserve">İki kullanıcı için yeterli; harici servise bağımlılık yok.</t>
  </si>
  <si>
    <t xml:space="preserve">Frontend yayını</t>
  </si>
  <si>
    <t xml:space="preserve">Vercel Hobby</t>
  </si>
  <si>
    <t xml:space="preserve">Ücretsiz; aylık 100 GB trafik dahil. Yalnızca kişisel/ticari olmayan kullanım.</t>
  </si>
  <si>
    <t xml:space="preserve">Reklam/sponsorluk gelirse Pro planı (kullanıcı başı aylık 20 $) gerekir.</t>
  </si>
  <si>
    <t xml:space="preserve">Backend yayını</t>
  </si>
  <si>
    <t xml:space="preserve">Render Free web service</t>
  </si>
  <si>
    <t xml:space="preserve">Ayda 750 saat (tek servis için tüm ay yeter). 15 dk trafik yoksa uyur, uyanması ~1 dk.</t>
  </si>
  <si>
    <t xml:space="preserve">Okuyucu sayfaları önceden üretildiği için uykuyu çoğunlukla admin panelde hissedersiniz.</t>
  </si>
  <si>
    <t xml:space="preserve">Analitik</t>
  </si>
  <si>
    <t xml:space="preserve">Vercel Web Analytics</t>
  </si>
  <si>
    <t xml:space="preserve">Hobby planında ayda 50.000 olay dahil.</t>
  </si>
  <si>
    <t xml:space="preserve">Ekip yönetimi</t>
  </si>
  <si>
    <t xml:space="preserve">GitHub Issues + Projects; main/dev branch; PR ile birleştirme</t>
  </si>
  <si>
    <t xml:space="preserve">Görev dağılımı ve ilerleme takibi.</t>
  </si>
  <si>
    <t xml:space="preserve">Repo yapısı</t>
  </si>
  <si>
    <t xml:space="preserve">Tek repo: frontend/ ve backend/ klasörleri</t>
  </si>
  <si>
    <t xml:space="preserve">İki ayrı repoyu senkron tutmaktan daha kolay.</t>
  </si>
  <si>
    <t xml:space="preserve">Alan adı</t>
  </si>
  <si>
    <t xml:space="preserve">rootandadmin.com vb. (isteğe bağlı)</t>
  </si>
  <si>
    <t xml:space="preserve">Tek gerçek maliyet. O zamana kadar ücretsiz vercel.app adresi kullanılır.</t>
  </si>
  <si>
    <t xml:space="preserve">Yıllık ücret, uzantıya göre değişir</t>
  </si>
  <si>
    <t xml:space="preserve">Ertelendi</t>
  </si>
  <si>
    <t xml:space="preserve">Toplam aylık maliyet: 0 (alan adı hariç)</t>
  </si>
  <si>
    <t xml:space="preserve">Özellik Listesi</t>
  </si>
  <si>
    <t xml:space="preserve">Sarı sütunlar doldurulacak. Sorumlu ve Durum açılır listeden seçilir. Özet tablo (sağda) otomatik hesaplanır.</t>
  </si>
  <si>
    <t xml:space="preserve">Özellik</t>
  </si>
  <si>
    <t xml:space="preserve">Öncelik</t>
  </si>
  <si>
    <t xml:space="preserve">Kaynak</t>
  </si>
  <si>
    <t xml:space="preserve">Admin panel: blog ekleme, düzenleme, silme</t>
  </si>
  <si>
    <t xml:space="preserve">İlk sürüm</t>
  </si>
  <si>
    <t xml:space="preserve">Ekibin belirttiği</t>
  </si>
  <si>
    <t xml:space="preserve">Admin panel: okuma süresi ve yazar alanları</t>
  </si>
  <si>
    <t xml:space="preserve">Sonraki sürüm</t>
  </si>
  <si>
    <t xml:space="preserve">Kategori ve etiketler (Öğrendiklerimiz / Haberler / Düşünceler)</t>
  </si>
  <si>
    <t xml:space="preserve">Claude önerisi</t>
  </si>
  <si>
    <t xml:space="preserve">Taslak, yayında ve zamanlanmış yazı durumları</t>
  </si>
  <si>
    <t xml:space="preserve">Okunabilir URL'ler (slug)</t>
  </si>
  <si>
    <t xml:space="preserve">Kapak görseli ve yazı özeti</t>
  </si>
  <si>
    <t xml:space="preserve">Arama</t>
  </si>
  <si>
    <t xml:space="preserve">Kod blokları için sözdizimi renklendirme</t>
  </si>
  <si>
    <t xml:space="preserve">Yazar sayfaları (profil ve yazı listesi)</t>
  </si>
  <si>
    <t xml:space="preserve">Sayfalama, 404 sayfası, mobil uyum</t>
  </si>
  <si>
    <t xml:space="preserve">Hakkımızda ve iletişim sayfaları</t>
  </si>
  <si>
    <t xml:space="preserve">Karanlık/aydınlık tema</t>
  </si>
  <si>
    <t xml:space="preserve">Yazı içi içindekiler tablosu</t>
  </si>
  <si>
    <t xml:space="preserve">İlgili yazılar ve seri yazılar</t>
  </si>
  <si>
    <t xml:space="preserve">RSS beslemesi</t>
  </si>
  <si>
    <t xml:space="preserve">Görüntülenme sayısı ve analitik (KVKK çerez bildirimi gerekir)</t>
  </si>
  <si>
    <t xml:space="preserve">Moderasyonlu yorumlar</t>
  </si>
  <si>
    <t xml:space="preserve">Bülten aboneliği</t>
  </si>
  <si>
    <t xml:space="preserve">Admin panelde medya kütüphanesi ve basit istatistikler</t>
  </si>
  <si>
    <t xml:space="preserve">Haberler için kısa, ayrı yazı formatı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</si>
</sst>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"/>
    <numFmt numFmtId="166" formatCode="dd\.mm\.yyyy"/>
    <numFmt numFmtId="167" formatCode="General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8"/>
      <color rgb="FF1F2937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7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1F2937"/>
      </font>
      <fill>
        <patternFill>
          <bgColor rgb="FF1F2937"/>
        </patternFill>
      </fill>
    </dxf>
    <dxf>
      <font>
        <strike val="1"/>
        <color rgb="FF9CA3A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62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6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3" min="10" style="0" width="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J3" s="3" t="n">
        <v>46307</v>
      </c>
      <c r="K3" s="3" t="n">
        <v>46314</v>
      </c>
      <c r="L3" s="3" t="n">
        <v>46321</v>
      </c>
      <c r="M3" s="3" t="n">
        <v>46328</v>
      </c>
    </row>
    <row r="4" customFormat="false" ht="26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15" hidden="false" customHeight="false" outlineLevel="0" collapsed="false">
      <c r="A5" s="5" t="n">
        <v>1</v>
      </c>
      <c r="B5" s="5" t="s">
        <v>15</v>
      </c>
      <c r="C5" s="5" t="s">
        <v>16</v>
      </c>
      <c r="D5" s="6" t="s">
        <v>17</v>
      </c>
      <c r="E5" s="7" t="n">
        <v>46307</v>
      </c>
      <c r="F5" s="7" t="n">
        <v>46307</v>
      </c>
      <c r="G5" s="5" t="n">
        <f aca="false">F5-E5+1</f>
        <v>1</v>
      </c>
      <c r="H5" s="5"/>
      <c r="I5" s="6" t="s">
        <v>18</v>
      </c>
      <c r="J5" s="8" t="n">
        <f aca="false">IF(AND($E5&lt;=J$3+6,$F5&gt;=J$3),1,"")</f>
        <v>1</v>
      </c>
      <c r="K5" s="8" t="str">
        <f aca="false">IF(AND($E5&lt;=K$3+6,$F5&gt;=K$3),1,"")</f>
        <v/>
      </c>
      <c r="L5" s="8" t="str">
        <f aca="false">IF(AND($E5&lt;=L$3+6,$F5&gt;=L$3),1,"")</f>
        <v/>
      </c>
      <c r="M5" s="8" t="str">
        <f aca="false">IF(AND($E5&lt;=M$3+6,$F5&gt;=M$3),1,"")</f>
        <v/>
      </c>
    </row>
    <row r="6" customFormat="false" ht="15" hidden="false" customHeight="false" outlineLevel="0" collapsed="false">
      <c r="A6" s="5" t="n">
        <v>2</v>
      </c>
      <c r="B6" s="5" t="s">
        <v>15</v>
      </c>
      <c r="C6" s="5" t="s">
        <v>19</v>
      </c>
      <c r="D6" s="6" t="s">
        <v>17</v>
      </c>
      <c r="E6" s="7" t="n">
        <v>46307</v>
      </c>
      <c r="F6" s="7" t="n">
        <v>46307</v>
      </c>
      <c r="G6" s="5" t="n">
        <f aca="false">F6-E6+1</f>
        <v>1</v>
      </c>
      <c r="H6" s="5" t="s">
        <v>20</v>
      </c>
      <c r="I6" s="6" t="s">
        <v>18</v>
      </c>
      <c r="J6" s="8" t="n">
        <f aca="false">IF(AND($E6&lt;=J$3+6,$F6&gt;=J$3),1,"")</f>
        <v>1</v>
      </c>
      <c r="K6" s="8" t="str">
        <f aca="false">IF(AND($E6&lt;=K$3+6,$F6&gt;=K$3),1,"")</f>
        <v/>
      </c>
      <c r="L6" s="8" t="str">
        <f aca="false">IF(AND($E6&lt;=L$3+6,$F6&gt;=L$3),1,"")</f>
        <v/>
      </c>
      <c r="M6" s="8" t="str">
        <f aca="false">IF(AND($E6&lt;=M$3+6,$F6&gt;=M$3),1,"")</f>
        <v/>
      </c>
    </row>
    <row r="7" customFormat="false" ht="15" hidden="false" customHeight="false" outlineLevel="0" collapsed="false">
      <c r="A7" s="5" t="n">
        <v>3</v>
      </c>
      <c r="B7" s="5" t="s">
        <v>15</v>
      </c>
      <c r="C7" s="5" t="s">
        <v>21</v>
      </c>
      <c r="D7" s="6" t="s">
        <v>17</v>
      </c>
      <c r="E7" s="7" t="n">
        <v>46307</v>
      </c>
      <c r="F7" s="7" t="n">
        <v>46308</v>
      </c>
      <c r="G7" s="5" t="n">
        <f aca="false">F7-E7+1</f>
        <v>2</v>
      </c>
      <c r="H7" s="5"/>
      <c r="I7" s="6" t="s">
        <v>18</v>
      </c>
      <c r="J7" s="8" t="n">
        <f aca="false">IF(AND($E7&lt;=J$3+6,$F7&gt;=J$3),1,"")</f>
        <v>1</v>
      </c>
      <c r="K7" s="8" t="str">
        <f aca="false">IF(AND($E7&lt;=K$3+6,$F7&gt;=K$3),1,"")</f>
        <v/>
      </c>
      <c r="L7" s="8" t="str">
        <f aca="false">IF(AND($E7&lt;=L$3+6,$F7&gt;=L$3),1,"")</f>
        <v/>
      </c>
      <c r="M7" s="8" t="str">
        <f aca="false">IF(AND($E7&lt;=M$3+6,$F7&gt;=M$3),1,"")</f>
        <v/>
      </c>
    </row>
    <row r="8" customFormat="false" ht="15" hidden="false" customHeight="false" outlineLevel="0" collapsed="false">
      <c r="A8" s="5" t="n">
        <v>4</v>
      </c>
      <c r="B8" s="5" t="s">
        <v>15</v>
      </c>
      <c r="C8" s="5" t="s">
        <v>22</v>
      </c>
      <c r="D8" s="6" t="s">
        <v>17</v>
      </c>
      <c r="E8" s="7" t="n">
        <v>46308</v>
      </c>
      <c r="F8" s="7" t="n">
        <v>46309</v>
      </c>
      <c r="G8" s="5" t="n">
        <f aca="false">F8-E8+1</f>
        <v>2</v>
      </c>
      <c r="H8" s="5" t="s">
        <v>20</v>
      </c>
      <c r="I8" s="6" t="s">
        <v>18</v>
      </c>
      <c r="J8" s="8" t="n">
        <f aca="false">IF(AND($E8&lt;=J$3+6,$F8&gt;=J$3),1,"")</f>
        <v>1</v>
      </c>
      <c r="K8" s="8" t="str">
        <f aca="false">IF(AND($E8&lt;=K$3+6,$F8&gt;=K$3),1,"")</f>
        <v/>
      </c>
      <c r="L8" s="8" t="str">
        <f aca="false">IF(AND($E8&lt;=L$3+6,$F8&gt;=L$3),1,"")</f>
        <v/>
      </c>
      <c r="M8" s="8" t="str">
        <f aca="false">IF(AND($E8&lt;=M$3+6,$F8&gt;=M$3),1,"")</f>
        <v/>
      </c>
    </row>
    <row r="9" customFormat="false" ht="15" hidden="false" customHeight="false" outlineLevel="0" collapsed="false">
      <c r="A9" s="5" t="n">
        <v>5</v>
      </c>
      <c r="B9" s="5" t="s">
        <v>15</v>
      </c>
      <c r="C9" s="5" t="s">
        <v>23</v>
      </c>
      <c r="D9" s="6" t="s">
        <v>17</v>
      </c>
      <c r="E9" s="7" t="n">
        <v>46308</v>
      </c>
      <c r="F9" s="7" t="n">
        <v>46309</v>
      </c>
      <c r="G9" s="5" t="n">
        <f aca="false">F9-E9+1</f>
        <v>2</v>
      </c>
      <c r="H9" s="5"/>
      <c r="I9" s="6" t="s">
        <v>18</v>
      </c>
      <c r="J9" s="8" t="n">
        <f aca="false">IF(AND($E9&lt;=J$3+6,$F9&gt;=J$3),1,"")</f>
        <v>1</v>
      </c>
      <c r="K9" s="8" t="str">
        <f aca="false">IF(AND($E9&lt;=K$3+6,$F9&gt;=K$3),1,"")</f>
        <v/>
      </c>
      <c r="L9" s="8" t="str">
        <f aca="false">IF(AND($E9&lt;=L$3+6,$F9&gt;=L$3),1,"")</f>
        <v/>
      </c>
      <c r="M9" s="8" t="str">
        <f aca="false">IF(AND($E9&lt;=M$3+6,$F9&gt;=M$3),1,"")</f>
        <v/>
      </c>
    </row>
    <row r="10" customFormat="false" ht="15" hidden="false" customHeight="false" outlineLevel="0" collapsed="false">
      <c r="A10" s="5" t="n">
        <v>6</v>
      </c>
      <c r="B10" s="5" t="s">
        <v>24</v>
      </c>
      <c r="C10" s="5" t="s">
        <v>25</v>
      </c>
      <c r="D10" s="6" t="s">
        <v>26</v>
      </c>
      <c r="E10" s="7" t="n">
        <v>46310</v>
      </c>
      <c r="F10" s="7" t="n">
        <v>46312</v>
      </c>
      <c r="G10" s="5" t="n">
        <f aca="false">F10-E10+1</f>
        <v>3</v>
      </c>
      <c r="H10" s="5" t="s">
        <v>27</v>
      </c>
      <c r="I10" s="6" t="s">
        <v>18</v>
      </c>
      <c r="J10" s="8" t="n">
        <f aca="false">IF(AND($E10&lt;=J$3+6,$F10&gt;=J$3),1,"")</f>
        <v>1</v>
      </c>
      <c r="K10" s="8" t="str">
        <f aca="false">IF(AND($E10&lt;=K$3+6,$F10&gt;=K$3),1,"")</f>
        <v/>
      </c>
      <c r="L10" s="8" t="str">
        <f aca="false">IF(AND($E10&lt;=L$3+6,$F10&gt;=L$3),1,"")</f>
        <v/>
      </c>
      <c r="M10" s="8" t="str">
        <f aca="false">IF(AND($E10&lt;=M$3+6,$F10&gt;=M$3),1,"")</f>
        <v/>
      </c>
    </row>
    <row r="11" customFormat="false" ht="15" hidden="false" customHeight="false" outlineLevel="0" collapsed="false">
      <c r="A11" s="5" t="n">
        <v>7</v>
      </c>
      <c r="B11" s="5" t="s">
        <v>24</v>
      </c>
      <c r="C11" s="5" t="s">
        <v>28</v>
      </c>
      <c r="D11" s="6" t="s">
        <v>26</v>
      </c>
      <c r="E11" s="7" t="n">
        <v>46312</v>
      </c>
      <c r="F11" s="7" t="n">
        <v>46315</v>
      </c>
      <c r="G11" s="5" t="n">
        <f aca="false">F11-E11+1</f>
        <v>4</v>
      </c>
      <c r="H11" s="5" t="s">
        <v>29</v>
      </c>
      <c r="I11" s="6" t="s">
        <v>18</v>
      </c>
      <c r="J11" s="8" t="n">
        <f aca="false">IF(AND($E11&lt;=J$3+6,$F11&gt;=J$3),1,"")</f>
        <v>1</v>
      </c>
      <c r="K11" s="8" t="n">
        <f aca="false">IF(AND($E11&lt;=K$3+6,$F11&gt;=K$3),1,"")</f>
        <v>1</v>
      </c>
      <c r="L11" s="8" t="str">
        <f aca="false">IF(AND($E11&lt;=L$3+6,$F11&gt;=L$3),1,"")</f>
        <v/>
      </c>
      <c r="M11" s="8" t="str">
        <f aca="false">IF(AND($E11&lt;=M$3+6,$F11&gt;=M$3),1,"")</f>
        <v/>
      </c>
    </row>
    <row r="12" customFormat="false" ht="15" hidden="false" customHeight="false" outlineLevel="0" collapsed="false">
      <c r="A12" s="5" t="n">
        <v>8</v>
      </c>
      <c r="B12" s="5" t="s">
        <v>24</v>
      </c>
      <c r="C12" s="5" t="s">
        <v>30</v>
      </c>
      <c r="D12" s="6" t="s">
        <v>26</v>
      </c>
      <c r="E12" s="7" t="n">
        <v>46314</v>
      </c>
      <c r="F12" s="7" t="n">
        <v>46317</v>
      </c>
      <c r="G12" s="5" t="n">
        <f aca="false">F12-E12+1</f>
        <v>4</v>
      </c>
      <c r="H12" s="5" t="s">
        <v>29</v>
      </c>
      <c r="I12" s="6" t="s">
        <v>18</v>
      </c>
      <c r="J12" s="8" t="str">
        <f aca="false">IF(AND($E12&lt;=J$3+6,$F12&gt;=J$3),1,"")</f>
        <v/>
      </c>
      <c r="K12" s="8" t="n">
        <f aca="false">IF(AND($E12&lt;=K$3+6,$F12&gt;=K$3),1,"")</f>
        <v>1</v>
      </c>
      <c r="L12" s="8" t="str">
        <f aca="false">IF(AND($E12&lt;=L$3+6,$F12&gt;=L$3),1,"")</f>
        <v/>
      </c>
      <c r="M12" s="8" t="str">
        <f aca="false">IF(AND($E12&lt;=M$3+6,$F12&gt;=M$3),1,"")</f>
        <v/>
      </c>
    </row>
    <row r="13" customFormat="false" ht="15" hidden="false" customHeight="false" outlineLevel="0" collapsed="false">
      <c r="A13" s="5" t="n">
        <v>9</v>
      </c>
      <c r="B13" s="5" t="s">
        <v>24</v>
      </c>
      <c r="C13" s="5" t="s">
        <v>31</v>
      </c>
      <c r="D13" s="6" t="s">
        <v>26</v>
      </c>
      <c r="E13" s="7" t="n">
        <v>46317</v>
      </c>
      <c r="F13" s="7" t="n">
        <v>46319</v>
      </c>
      <c r="G13" s="5" t="n">
        <f aca="false">F13-E13+1</f>
        <v>3</v>
      </c>
      <c r="H13" s="5" t="s">
        <v>32</v>
      </c>
      <c r="I13" s="6" t="s">
        <v>18</v>
      </c>
      <c r="J13" s="8" t="str">
        <f aca="false">IF(AND($E13&lt;=J$3+6,$F13&gt;=J$3),1,"")</f>
        <v/>
      </c>
      <c r="K13" s="8" t="n">
        <f aca="false">IF(AND($E13&lt;=K$3+6,$F13&gt;=K$3),1,"")</f>
        <v>1</v>
      </c>
      <c r="L13" s="8" t="str">
        <f aca="false">IF(AND($E13&lt;=L$3+6,$F13&gt;=L$3),1,"")</f>
        <v/>
      </c>
      <c r="M13" s="8" t="str">
        <f aca="false">IF(AND($E13&lt;=M$3+6,$F13&gt;=M$3),1,"")</f>
        <v/>
      </c>
    </row>
    <row r="14" customFormat="false" ht="15" hidden="false" customHeight="false" outlineLevel="0" collapsed="false">
      <c r="A14" s="5" t="n">
        <v>10</v>
      </c>
      <c r="B14" s="5" t="s">
        <v>24</v>
      </c>
      <c r="C14" s="5" t="s">
        <v>33</v>
      </c>
      <c r="D14" s="6" t="s">
        <v>26</v>
      </c>
      <c r="E14" s="7" t="n">
        <v>46319</v>
      </c>
      <c r="F14" s="7" t="n">
        <v>46320</v>
      </c>
      <c r="G14" s="5" t="n">
        <f aca="false">F14-E14+1</f>
        <v>2</v>
      </c>
      <c r="H14" s="5" t="s">
        <v>29</v>
      </c>
      <c r="I14" s="6" t="s">
        <v>18</v>
      </c>
      <c r="J14" s="8" t="str">
        <f aca="false">IF(AND($E14&lt;=J$3+6,$F14&gt;=J$3),1,"")</f>
        <v/>
      </c>
      <c r="K14" s="8" t="n">
        <f aca="false">IF(AND($E14&lt;=K$3+6,$F14&gt;=K$3),1,"")</f>
        <v>1</v>
      </c>
      <c r="L14" s="8" t="str">
        <f aca="false">IF(AND($E14&lt;=L$3+6,$F14&gt;=L$3),1,"")</f>
        <v/>
      </c>
      <c r="M14" s="8" t="str">
        <f aca="false">IF(AND($E14&lt;=M$3+6,$F14&gt;=M$3),1,"")</f>
        <v/>
      </c>
    </row>
    <row r="15" customFormat="false" ht="15" hidden="false" customHeight="false" outlineLevel="0" collapsed="false">
      <c r="A15" s="5" t="n">
        <v>11</v>
      </c>
      <c r="B15" s="5" t="s">
        <v>24</v>
      </c>
      <c r="C15" s="5" t="s">
        <v>34</v>
      </c>
      <c r="D15" s="6" t="s">
        <v>26</v>
      </c>
      <c r="E15" s="7" t="n">
        <v>46317</v>
      </c>
      <c r="F15" s="7" t="n">
        <v>46323</v>
      </c>
      <c r="G15" s="5" t="n">
        <f aca="false">F15-E15+1</f>
        <v>7</v>
      </c>
      <c r="H15" s="5" t="s">
        <v>29</v>
      </c>
      <c r="I15" s="6" t="s">
        <v>18</v>
      </c>
      <c r="J15" s="8" t="str">
        <f aca="false">IF(AND($E15&lt;=J$3+6,$F15&gt;=J$3),1,"")</f>
        <v/>
      </c>
      <c r="K15" s="8" t="n">
        <f aca="false">IF(AND($E15&lt;=K$3+6,$F15&gt;=K$3),1,"")</f>
        <v>1</v>
      </c>
      <c r="L15" s="8" t="n">
        <f aca="false">IF(AND($E15&lt;=L$3+6,$F15&gt;=L$3),1,"")</f>
        <v>1</v>
      </c>
      <c r="M15" s="8" t="str">
        <f aca="false">IF(AND($E15&lt;=M$3+6,$F15&gt;=M$3),1,"")</f>
        <v/>
      </c>
    </row>
    <row r="16" customFormat="false" ht="15" hidden="false" customHeight="false" outlineLevel="0" collapsed="false">
      <c r="A16" s="5" t="n">
        <v>12</v>
      </c>
      <c r="B16" s="5" t="s">
        <v>35</v>
      </c>
      <c r="C16" s="5" t="s">
        <v>36</v>
      </c>
      <c r="D16" s="6" t="s">
        <v>37</v>
      </c>
      <c r="E16" s="7" t="n">
        <v>46310</v>
      </c>
      <c r="F16" s="7" t="n">
        <v>46311</v>
      </c>
      <c r="G16" s="5" t="n">
        <f aca="false">F16-E16+1</f>
        <v>2</v>
      </c>
      <c r="H16" s="5" t="s">
        <v>38</v>
      </c>
      <c r="I16" s="6" t="s">
        <v>18</v>
      </c>
      <c r="J16" s="8" t="n">
        <f aca="false">IF(AND($E16&lt;=J$3+6,$F16&gt;=J$3),1,"")</f>
        <v>1</v>
      </c>
      <c r="K16" s="8" t="str">
        <f aca="false">IF(AND($E16&lt;=K$3+6,$F16&gt;=K$3),1,"")</f>
        <v/>
      </c>
      <c r="L16" s="8" t="str">
        <f aca="false">IF(AND($E16&lt;=L$3+6,$F16&gt;=L$3),1,"")</f>
        <v/>
      </c>
      <c r="M16" s="8" t="str">
        <f aca="false">IF(AND($E16&lt;=M$3+6,$F16&gt;=M$3),1,"")</f>
        <v/>
      </c>
    </row>
    <row r="17" customFormat="false" ht="15" hidden="false" customHeight="false" outlineLevel="0" collapsed="false">
      <c r="A17" s="5" t="n">
        <v>13</v>
      </c>
      <c r="B17" s="5" t="s">
        <v>35</v>
      </c>
      <c r="C17" s="5" t="s">
        <v>39</v>
      </c>
      <c r="D17" s="6" t="s">
        <v>37</v>
      </c>
      <c r="E17" s="7" t="n">
        <v>46312</v>
      </c>
      <c r="F17" s="7" t="n">
        <v>46314</v>
      </c>
      <c r="G17" s="5" t="n">
        <f aca="false">F17-E17+1</f>
        <v>3</v>
      </c>
      <c r="H17" s="5" t="s">
        <v>40</v>
      </c>
      <c r="I17" s="6" t="s">
        <v>18</v>
      </c>
      <c r="J17" s="8" t="n">
        <f aca="false">IF(AND($E17&lt;=J$3+6,$F17&gt;=J$3),1,"")</f>
        <v>1</v>
      </c>
      <c r="K17" s="8" t="n">
        <f aca="false">IF(AND($E17&lt;=K$3+6,$F17&gt;=K$3),1,"")</f>
        <v>1</v>
      </c>
      <c r="L17" s="8" t="str">
        <f aca="false">IF(AND($E17&lt;=L$3+6,$F17&gt;=L$3),1,"")</f>
        <v/>
      </c>
      <c r="M17" s="8" t="str">
        <f aca="false">IF(AND($E17&lt;=M$3+6,$F17&gt;=M$3),1,"")</f>
        <v/>
      </c>
    </row>
    <row r="18" customFormat="false" ht="15" hidden="false" customHeight="false" outlineLevel="0" collapsed="false">
      <c r="A18" s="5" t="n">
        <v>14</v>
      </c>
      <c r="B18" s="5" t="s">
        <v>35</v>
      </c>
      <c r="C18" s="5" t="s">
        <v>41</v>
      </c>
      <c r="D18" s="6" t="s">
        <v>37</v>
      </c>
      <c r="E18" s="7" t="n">
        <v>46312</v>
      </c>
      <c r="F18" s="7" t="n">
        <v>46317</v>
      </c>
      <c r="G18" s="5" t="n">
        <f aca="false">F18-E18+1</f>
        <v>6</v>
      </c>
      <c r="H18" s="5" t="s">
        <v>40</v>
      </c>
      <c r="I18" s="6" t="s">
        <v>18</v>
      </c>
      <c r="J18" s="8" t="n">
        <f aca="false">IF(AND($E18&lt;=J$3+6,$F18&gt;=J$3),1,"")</f>
        <v>1</v>
      </c>
      <c r="K18" s="8" t="n">
        <f aca="false">IF(AND($E18&lt;=K$3+6,$F18&gt;=K$3),1,"")</f>
        <v>1</v>
      </c>
      <c r="L18" s="8" t="str">
        <f aca="false">IF(AND($E18&lt;=L$3+6,$F18&gt;=L$3),1,"")</f>
        <v/>
      </c>
      <c r="M18" s="8" t="str">
        <f aca="false">IF(AND($E18&lt;=M$3+6,$F18&gt;=M$3),1,"")</f>
        <v/>
      </c>
    </row>
    <row r="19" customFormat="false" ht="15" hidden="false" customHeight="false" outlineLevel="0" collapsed="false">
      <c r="A19" s="5" t="n">
        <v>15</v>
      </c>
      <c r="B19" s="5" t="s">
        <v>35</v>
      </c>
      <c r="C19" s="5" t="s">
        <v>42</v>
      </c>
      <c r="D19" s="6" t="s">
        <v>37</v>
      </c>
      <c r="E19" s="7" t="n">
        <v>46317</v>
      </c>
      <c r="F19" s="7" t="n">
        <v>46319</v>
      </c>
      <c r="G19" s="5" t="n">
        <f aca="false">F19-E19+1</f>
        <v>3</v>
      </c>
      <c r="H19" s="5" t="s">
        <v>43</v>
      </c>
      <c r="I19" s="6" t="s">
        <v>18</v>
      </c>
      <c r="J19" s="8" t="str">
        <f aca="false">IF(AND($E19&lt;=J$3+6,$F19&gt;=J$3),1,"")</f>
        <v/>
      </c>
      <c r="K19" s="8" t="n">
        <f aca="false">IF(AND($E19&lt;=K$3+6,$F19&gt;=K$3),1,"")</f>
        <v>1</v>
      </c>
      <c r="L19" s="8" t="str">
        <f aca="false">IF(AND($E19&lt;=L$3+6,$F19&gt;=L$3),1,"")</f>
        <v/>
      </c>
      <c r="M19" s="8" t="str">
        <f aca="false">IF(AND($E19&lt;=M$3+6,$F19&gt;=M$3),1,"")</f>
        <v/>
      </c>
    </row>
    <row r="20" customFormat="false" ht="15" hidden="false" customHeight="false" outlineLevel="0" collapsed="false">
      <c r="A20" s="5" t="n">
        <v>16</v>
      </c>
      <c r="B20" s="5" t="s">
        <v>35</v>
      </c>
      <c r="C20" s="5" t="s">
        <v>44</v>
      </c>
      <c r="D20" s="6" t="s">
        <v>37</v>
      </c>
      <c r="E20" s="7" t="n">
        <v>46319</v>
      </c>
      <c r="F20" s="7" t="n">
        <v>46320</v>
      </c>
      <c r="G20" s="5" t="n">
        <f aca="false">F20-E20+1</f>
        <v>2</v>
      </c>
      <c r="H20" s="5" t="s">
        <v>43</v>
      </c>
      <c r="I20" s="6" t="s">
        <v>18</v>
      </c>
      <c r="J20" s="8" t="str">
        <f aca="false">IF(AND($E20&lt;=J$3+6,$F20&gt;=J$3),1,"")</f>
        <v/>
      </c>
      <c r="K20" s="8" t="n">
        <f aca="false">IF(AND($E20&lt;=K$3+6,$F20&gt;=K$3),1,"")</f>
        <v>1</v>
      </c>
      <c r="L20" s="8" t="str">
        <f aca="false">IF(AND($E20&lt;=L$3+6,$F20&gt;=L$3),1,"")</f>
        <v/>
      </c>
      <c r="M20" s="8" t="str">
        <f aca="false">IF(AND($E20&lt;=M$3+6,$F20&gt;=M$3),1,"")</f>
        <v/>
      </c>
    </row>
    <row r="21" customFormat="false" ht="15" hidden="false" customHeight="false" outlineLevel="0" collapsed="false">
      <c r="A21" s="5" t="n">
        <v>17</v>
      </c>
      <c r="B21" s="5" t="s">
        <v>35</v>
      </c>
      <c r="C21" s="5" t="s">
        <v>45</v>
      </c>
      <c r="D21" s="6" t="s">
        <v>37</v>
      </c>
      <c r="E21" s="7" t="n">
        <v>46320</v>
      </c>
      <c r="F21" s="7" t="n">
        <v>46321</v>
      </c>
      <c r="G21" s="5" t="n">
        <f aca="false">F21-E21+1</f>
        <v>2</v>
      </c>
      <c r="H21" s="5" t="s">
        <v>40</v>
      </c>
      <c r="I21" s="6" t="s">
        <v>18</v>
      </c>
      <c r="J21" s="8" t="str">
        <f aca="false">IF(AND($E21&lt;=J$3+6,$F21&gt;=J$3),1,"")</f>
        <v/>
      </c>
      <c r="K21" s="8" t="n">
        <f aca="false">IF(AND($E21&lt;=K$3+6,$F21&gt;=K$3),1,"")</f>
        <v>1</v>
      </c>
      <c r="L21" s="8" t="n">
        <f aca="false">IF(AND($E21&lt;=L$3+6,$F21&gt;=L$3),1,"")</f>
        <v>1</v>
      </c>
      <c r="M21" s="8" t="str">
        <f aca="false">IF(AND($E21&lt;=M$3+6,$F21&gt;=M$3),1,"")</f>
        <v/>
      </c>
    </row>
    <row r="22" customFormat="false" ht="15" hidden="false" customHeight="false" outlineLevel="0" collapsed="false">
      <c r="A22" s="5" t="n">
        <v>18</v>
      </c>
      <c r="B22" s="5" t="s">
        <v>35</v>
      </c>
      <c r="C22" s="5" t="s">
        <v>46</v>
      </c>
      <c r="D22" s="6" t="s">
        <v>37</v>
      </c>
      <c r="E22" s="7" t="n">
        <v>46321</v>
      </c>
      <c r="F22" s="7" t="n">
        <v>46323</v>
      </c>
      <c r="G22" s="5" t="n">
        <f aca="false">F22-E22+1</f>
        <v>3</v>
      </c>
      <c r="H22" s="5" t="s">
        <v>43</v>
      </c>
      <c r="I22" s="6" t="s">
        <v>18</v>
      </c>
      <c r="J22" s="8" t="str">
        <f aca="false">IF(AND($E22&lt;=J$3+6,$F22&gt;=J$3),1,"")</f>
        <v/>
      </c>
      <c r="K22" s="8" t="str">
        <f aca="false">IF(AND($E22&lt;=K$3+6,$F22&gt;=K$3),1,"")</f>
        <v/>
      </c>
      <c r="L22" s="8" t="n">
        <f aca="false">IF(AND($E22&lt;=L$3+6,$F22&gt;=L$3),1,"")</f>
        <v>1</v>
      </c>
      <c r="M22" s="8" t="str">
        <f aca="false">IF(AND($E22&lt;=M$3+6,$F22&gt;=M$3),1,"")</f>
        <v/>
      </c>
    </row>
    <row r="23" customFormat="false" ht="15" hidden="false" customHeight="false" outlineLevel="0" collapsed="false">
      <c r="A23" s="5" t="n">
        <v>19</v>
      </c>
      <c r="B23" s="5" t="s">
        <v>47</v>
      </c>
      <c r="C23" s="5" t="s">
        <v>48</v>
      </c>
      <c r="D23" s="6" t="s">
        <v>17</v>
      </c>
      <c r="E23" s="7" t="n">
        <v>46324</v>
      </c>
      <c r="F23" s="7" t="n">
        <v>46326</v>
      </c>
      <c r="G23" s="5" t="n">
        <f aca="false">F23-E23+1</f>
        <v>3</v>
      </c>
      <c r="H23" s="5" t="s">
        <v>49</v>
      </c>
      <c r="I23" s="6" t="s">
        <v>18</v>
      </c>
      <c r="J23" s="8" t="str">
        <f aca="false">IF(AND($E23&lt;=J$3+6,$F23&gt;=J$3),1,"")</f>
        <v/>
      </c>
      <c r="K23" s="8" t="str">
        <f aca="false">IF(AND($E23&lt;=K$3+6,$F23&gt;=K$3),1,"")</f>
        <v/>
      </c>
      <c r="L23" s="8" t="n">
        <f aca="false">IF(AND($E23&lt;=L$3+6,$F23&gt;=L$3),1,"")</f>
        <v>1</v>
      </c>
      <c r="M23" s="8" t="str">
        <f aca="false">IF(AND($E23&lt;=M$3+6,$F23&gt;=M$3),1,"")</f>
        <v/>
      </c>
    </row>
    <row r="24" customFormat="false" ht="15" hidden="false" customHeight="false" outlineLevel="0" collapsed="false">
      <c r="A24" s="5" t="n">
        <v>20</v>
      </c>
      <c r="B24" s="5" t="s">
        <v>47</v>
      </c>
      <c r="C24" s="5" t="s">
        <v>50</v>
      </c>
      <c r="D24" s="6" t="s">
        <v>26</v>
      </c>
      <c r="E24" s="7" t="n">
        <v>46326</v>
      </c>
      <c r="F24" s="7" t="n">
        <v>46328</v>
      </c>
      <c r="G24" s="5" t="n">
        <f aca="false">F24-E24+1</f>
        <v>3</v>
      </c>
      <c r="H24" s="5" t="s">
        <v>51</v>
      </c>
      <c r="I24" s="6" t="s">
        <v>18</v>
      </c>
      <c r="J24" s="8" t="str">
        <f aca="false">IF(AND($E24&lt;=J$3+6,$F24&gt;=J$3),1,"")</f>
        <v/>
      </c>
      <c r="K24" s="8" t="str">
        <f aca="false">IF(AND($E24&lt;=K$3+6,$F24&gt;=K$3),1,"")</f>
        <v/>
      </c>
      <c r="L24" s="8" t="n">
        <f aca="false">IF(AND($E24&lt;=L$3+6,$F24&gt;=L$3),1,"")</f>
        <v>1</v>
      </c>
      <c r="M24" s="8" t="n">
        <f aca="false">IF(AND($E24&lt;=M$3+6,$F24&gt;=M$3),1,"")</f>
        <v>1</v>
      </c>
    </row>
    <row r="25" customFormat="false" ht="15" hidden="false" customHeight="false" outlineLevel="0" collapsed="false">
      <c r="A25" s="5" t="n">
        <v>21</v>
      </c>
      <c r="B25" s="5" t="s">
        <v>47</v>
      </c>
      <c r="C25" s="5" t="s">
        <v>52</v>
      </c>
      <c r="D25" s="6" t="s">
        <v>37</v>
      </c>
      <c r="E25" s="7" t="n">
        <v>46326</v>
      </c>
      <c r="F25" s="7" t="n">
        <v>46328</v>
      </c>
      <c r="G25" s="5" t="n">
        <f aca="false">F25-E25+1</f>
        <v>3</v>
      </c>
      <c r="H25" s="5" t="s">
        <v>51</v>
      </c>
      <c r="I25" s="6" t="s">
        <v>18</v>
      </c>
      <c r="J25" s="8" t="str">
        <f aca="false">IF(AND($E25&lt;=J$3+6,$F25&gt;=J$3),1,"")</f>
        <v/>
      </c>
      <c r="K25" s="8" t="str">
        <f aca="false">IF(AND($E25&lt;=K$3+6,$F25&gt;=K$3),1,"")</f>
        <v/>
      </c>
      <c r="L25" s="8" t="n">
        <f aca="false">IF(AND($E25&lt;=L$3+6,$F25&gt;=L$3),1,"")</f>
        <v>1</v>
      </c>
      <c r="M25" s="8" t="n">
        <f aca="false">IF(AND($E25&lt;=M$3+6,$F25&gt;=M$3),1,"")</f>
        <v>1</v>
      </c>
    </row>
    <row r="26" customFormat="false" ht="15" hidden="false" customHeight="false" outlineLevel="0" collapsed="false">
      <c r="A26" s="5" t="n">
        <v>22</v>
      </c>
      <c r="B26" s="5" t="s">
        <v>47</v>
      </c>
      <c r="C26" s="5" t="s">
        <v>53</v>
      </c>
      <c r="D26" s="6" t="s">
        <v>17</v>
      </c>
      <c r="E26" s="7" t="n">
        <v>46328</v>
      </c>
      <c r="F26" s="7" t="n">
        <v>46330</v>
      </c>
      <c r="G26" s="5" t="n">
        <f aca="false">F26-E26+1</f>
        <v>3</v>
      </c>
      <c r="H26" s="5" t="s">
        <v>54</v>
      </c>
      <c r="I26" s="6" t="s">
        <v>18</v>
      </c>
      <c r="J26" s="8" t="str">
        <f aca="false">IF(AND($E26&lt;=J$3+6,$F26&gt;=J$3),1,"")</f>
        <v/>
      </c>
      <c r="K26" s="8" t="str">
        <f aca="false">IF(AND($E26&lt;=K$3+6,$F26&gt;=K$3),1,"")</f>
        <v/>
      </c>
      <c r="L26" s="8" t="str">
        <f aca="false">IF(AND($E26&lt;=L$3+6,$F26&gt;=L$3),1,"")</f>
        <v/>
      </c>
      <c r="M26" s="8" t="n">
        <f aca="false">IF(AND($E26&lt;=M$3+6,$F26&gt;=M$3),1,"")</f>
        <v>1</v>
      </c>
    </row>
    <row r="27" customFormat="false" ht="15" hidden="false" customHeight="false" outlineLevel="0" collapsed="false">
      <c r="A27" s="5" t="n">
        <v>23</v>
      </c>
      <c r="B27" s="5" t="s">
        <v>55</v>
      </c>
      <c r="C27" s="5" t="s">
        <v>56</v>
      </c>
      <c r="D27" s="6" t="s">
        <v>17</v>
      </c>
      <c r="E27" s="7" t="n">
        <v>46331</v>
      </c>
      <c r="F27" s="7" t="n">
        <v>46332</v>
      </c>
      <c r="G27" s="5" t="n">
        <f aca="false">F27-E27+1</f>
        <v>2</v>
      </c>
      <c r="H27" s="5" t="s">
        <v>57</v>
      </c>
      <c r="I27" s="6" t="s">
        <v>18</v>
      </c>
      <c r="J27" s="8" t="str">
        <f aca="false">IF(AND($E27&lt;=J$3+6,$F27&gt;=J$3),1,"")</f>
        <v/>
      </c>
      <c r="K27" s="8" t="str">
        <f aca="false">IF(AND($E27&lt;=K$3+6,$F27&gt;=K$3),1,"")</f>
        <v/>
      </c>
      <c r="L27" s="8" t="str">
        <f aca="false">IF(AND($E27&lt;=L$3+6,$F27&gt;=L$3),1,"")</f>
        <v/>
      </c>
      <c r="M27" s="8" t="n">
        <f aca="false">IF(AND($E27&lt;=M$3+6,$F27&gt;=M$3),1,"")</f>
        <v>1</v>
      </c>
    </row>
    <row r="28" customFormat="false" ht="15" hidden="false" customHeight="false" outlineLevel="0" collapsed="false">
      <c r="A28" s="5" t="n">
        <v>24</v>
      </c>
      <c r="B28" s="5" t="s">
        <v>55</v>
      </c>
      <c r="C28" s="5" t="s">
        <v>58</v>
      </c>
      <c r="D28" s="6" t="s">
        <v>17</v>
      </c>
      <c r="E28" s="7" t="n">
        <v>46331</v>
      </c>
      <c r="F28" s="7" t="n">
        <v>46333</v>
      </c>
      <c r="G28" s="5" t="n">
        <f aca="false">F28-E28+1</f>
        <v>3</v>
      </c>
      <c r="H28" s="5"/>
      <c r="I28" s="6" t="s">
        <v>18</v>
      </c>
      <c r="J28" s="8" t="str">
        <f aca="false">IF(AND($E28&lt;=J$3+6,$F28&gt;=J$3),1,"")</f>
        <v/>
      </c>
      <c r="K28" s="8" t="str">
        <f aca="false">IF(AND($E28&lt;=K$3+6,$F28&gt;=K$3),1,"")</f>
        <v/>
      </c>
      <c r="L28" s="8" t="str">
        <f aca="false">IF(AND($E28&lt;=L$3+6,$F28&gt;=L$3),1,"")</f>
        <v/>
      </c>
      <c r="M28" s="8" t="n">
        <f aca="false">IF(AND($E28&lt;=M$3+6,$F28&gt;=M$3),1,"")</f>
        <v>1</v>
      </c>
    </row>
    <row r="29" customFormat="false" ht="15" hidden="false" customHeight="false" outlineLevel="0" collapsed="false">
      <c r="A29" s="5" t="n">
        <v>25</v>
      </c>
      <c r="B29" s="5" t="s">
        <v>55</v>
      </c>
      <c r="C29" s="5" t="s">
        <v>59</v>
      </c>
      <c r="D29" s="6" t="s">
        <v>17</v>
      </c>
      <c r="E29" s="7" t="n">
        <v>46334</v>
      </c>
      <c r="F29" s="7" t="n">
        <v>46334</v>
      </c>
      <c r="G29" s="5" t="n">
        <f aca="false">F29-E29+1</f>
        <v>1</v>
      </c>
      <c r="H29" s="5" t="s">
        <v>60</v>
      </c>
      <c r="I29" s="6" t="s">
        <v>18</v>
      </c>
      <c r="J29" s="8" t="str">
        <f aca="false">IF(AND($E29&lt;=J$3+6,$F29&gt;=J$3),1,"")</f>
        <v/>
      </c>
      <c r="K29" s="8" t="str">
        <f aca="false">IF(AND($E29&lt;=K$3+6,$F29&gt;=K$3),1,"")</f>
        <v/>
      </c>
      <c r="L29" s="8" t="str">
        <f aca="false">IF(AND($E29&lt;=L$3+6,$F29&gt;=L$3),1,"")</f>
        <v/>
      </c>
      <c r="M29" s="8" t="n">
        <f aca="false">IF(AND($E29&lt;=M$3+6,$F29&gt;=M$3),1,"")</f>
        <v>1</v>
      </c>
    </row>
    <row r="31" customFormat="false" ht="15" hidden="false" customHeight="false" outlineLevel="0" collapsed="false">
      <c r="B31" s="9" t="s">
        <v>3</v>
      </c>
      <c r="C31" s="9" t="s">
        <v>4</v>
      </c>
      <c r="D31" s="9" t="s">
        <v>61</v>
      </c>
      <c r="E31" s="9" t="s">
        <v>62</v>
      </c>
    </row>
    <row r="32" customFormat="false" ht="15" hidden="false" customHeight="false" outlineLevel="0" collapsed="false">
      <c r="B32" s="10" t="s">
        <v>15</v>
      </c>
      <c r="C32" s="10" t="n">
        <f aca="false">COUNTIF($B$5:$B$29,B32)</f>
        <v>5</v>
      </c>
      <c r="D32" s="11" t="n">
        <f aca="false">COUNTIFS($B$5:$B$29,B32,$I$5:$I$29,"Tamamlandı")</f>
        <v>0</v>
      </c>
      <c r="E32" s="12" t="n">
        <f aca="false">IF(C32=0,0,D32/C32)</f>
        <v>0</v>
      </c>
    </row>
    <row r="33" customFormat="false" ht="15" hidden="false" customHeight="false" outlineLevel="0" collapsed="false">
      <c r="B33" s="10" t="s">
        <v>24</v>
      </c>
      <c r="C33" s="10" t="n">
        <f aca="false">COUNTIF($B$5:$B$29,B33)</f>
        <v>6</v>
      </c>
      <c r="D33" s="11" t="n">
        <f aca="false">COUNTIFS($B$5:$B$29,B33,$I$5:$I$29,"Tamamlandı")</f>
        <v>0</v>
      </c>
      <c r="E33" s="12" t="n">
        <f aca="false">IF(C33=0,0,D33/C33)</f>
        <v>0</v>
      </c>
    </row>
    <row r="34" customFormat="false" ht="15" hidden="false" customHeight="false" outlineLevel="0" collapsed="false">
      <c r="B34" s="10" t="s">
        <v>35</v>
      </c>
      <c r="C34" s="10" t="n">
        <f aca="false">COUNTIF($B$5:$B$29,B34)</f>
        <v>7</v>
      </c>
      <c r="D34" s="11" t="n">
        <f aca="false">COUNTIFS($B$5:$B$29,B34,$I$5:$I$29,"Tamamlandı")</f>
        <v>0</v>
      </c>
      <c r="E34" s="12" t="n">
        <f aca="false">IF(C34=0,0,D34/C34)</f>
        <v>0</v>
      </c>
    </row>
    <row r="35" customFormat="false" ht="15" hidden="false" customHeight="false" outlineLevel="0" collapsed="false">
      <c r="B35" s="10" t="s">
        <v>47</v>
      </c>
      <c r="C35" s="10" t="n">
        <f aca="false">COUNTIF($B$5:$B$29,B35)</f>
        <v>4</v>
      </c>
      <c r="D35" s="11" t="n">
        <f aca="false">COUNTIFS($B$5:$B$29,B35,$I$5:$I$29,"Tamamlandı")</f>
        <v>0</v>
      </c>
      <c r="E35" s="12" t="n">
        <f aca="false">IF(C35=0,0,D35/C35)</f>
        <v>0</v>
      </c>
    </row>
    <row r="36" customFormat="false" ht="15" hidden="false" customHeight="false" outlineLevel="0" collapsed="false">
      <c r="B36" s="10" t="s">
        <v>55</v>
      </c>
      <c r="C36" s="10" t="n">
        <f aca="false">COUNTIF($B$5:$B$29,B36)</f>
        <v>3</v>
      </c>
      <c r="D36" s="11" t="n">
        <f aca="false">COUNTIFS($B$5:$B$29,B36,$I$5:$I$29,"Tamamlandı")</f>
        <v>0</v>
      </c>
      <c r="E36" s="12" t="n">
        <f aca="false">IF(C36=0,0,D36/C36)</f>
        <v>0</v>
      </c>
    </row>
    <row r="37" customFormat="false" ht="15" hidden="false" customHeight="false" outlineLevel="0" collapsed="false">
      <c r="B37" s="13" t="s">
        <v>63</v>
      </c>
      <c r="C37" s="13" t="n">
        <f aca="false">SUM(C32:C36)</f>
        <v>25</v>
      </c>
      <c r="D37" s="14" t="n">
        <f aca="false">SUM(D32:D36)</f>
        <v>0</v>
      </c>
      <c r="E37" s="15" t="n">
        <f aca="false">IF(C37=0,0,D37/C37)</f>
        <v>0</v>
      </c>
    </row>
    <row r="39" customFormat="false" ht="15" hidden="false" customHeight="false" outlineLevel="0" collapsed="false">
      <c r="B39" s="2" t="s">
        <v>64</v>
      </c>
    </row>
  </sheetData>
  <conditionalFormatting sqref="J5:M29">
    <cfRule type="expression" priority="2" aboveAverage="0" equalAverage="0" bottom="0" percent="0" rank="0" text="" dxfId="0">
      <formula>J5=1</formula>
    </cfRule>
  </conditionalFormatting>
  <conditionalFormatting sqref="A5:I29">
    <cfRule type="expression" priority="3" aboveAverage="0" equalAverage="0" bottom="0" percent="0" rank="0" text="" dxfId="1">
      <formula>$I5="Tamamlandı"</formula>
    </cfRule>
  </conditionalFormatting>
  <dataValidations count="2">
    <dataValidation allowBlank="true" errorStyle="stop" operator="between" showDropDown="false" showErrorMessage="false" showInputMessage="false" sqref="I5:I59" type="list">
      <formula1>"Yapılacak,Devam ediyor,Tamamlandı"</formula1>
      <formula2>0</formula2>
    </dataValidation>
    <dataValidation allowBlank="true" errorStyle="stop" operator="between" showDropDown="false" showErrorMessage="false" showInputMessage="false" sqref="D5:D59" type="list">
      <formula1>"Abdulbaki,Buğra,İkisi"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6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44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15" hidden="false" customHeight="false" outlineLevel="0" collapsed="false">
      <c r="A4" s="16" t="s">
        <v>67</v>
      </c>
      <c r="B4" s="16" t="s">
        <v>68</v>
      </c>
      <c r="C4" s="16" t="s">
        <v>69</v>
      </c>
      <c r="D4" s="16" t="s">
        <v>70</v>
      </c>
      <c r="E4" s="16" t="s">
        <v>71</v>
      </c>
      <c r="F4" s="16" t="s">
        <v>72</v>
      </c>
    </row>
    <row r="5" customFormat="false" ht="23.85" hidden="false" customHeight="false" outlineLevel="0" collapsed="false">
      <c r="A5" s="5" t="s">
        <v>73</v>
      </c>
      <c r="B5" s="5" t="s">
        <v>74</v>
      </c>
      <c r="C5" s="5" t="s">
        <v>75</v>
      </c>
      <c r="D5" s="5" t="s">
        <v>76</v>
      </c>
      <c r="E5" s="5" t="s">
        <v>77</v>
      </c>
      <c r="F5" s="6"/>
    </row>
    <row r="6" customFormat="false" ht="23.85" hidden="false" customHeight="false" outlineLevel="0" collapsed="false">
      <c r="A6" s="5" t="s">
        <v>78</v>
      </c>
      <c r="B6" s="5" t="s">
        <v>79</v>
      </c>
      <c r="C6" s="5" t="s">
        <v>80</v>
      </c>
      <c r="D6" s="5" t="s">
        <v>76</v>
      </c>
      <c r="E6" s="5" t="s">
        <v>77</v>
      </c>
      <c r="F6" s="6"/>
    </row>
    <row r="7" customFormat="false" ht="23.85" hidden="false" customHeight="false" outlineLevel="0" collapsed="false">
      <c r="A7" s="5" t="s">
        <v>81</v>
      </c>
      <c r="B7" s="5" t="s">
        <v>82</v>
      </c>
      <c r="C7" s="5" t="s">
        <v>83</v>
      </c>
      <c r="D7" s="5" t="s">
        <v>76</v>
      </c>
      <c r="E7" s="5" t="s">
        <v>77</v>
      </c>
      <c r="F7" s="6"/>
    </row>
    <row r="8" customFormat="false" ht="23.85" hidden="false" customHeight="false" outlineLevel="0" collapsed="false">
      <c r="A8" s="5" t="s">
        <v>84</v>
      </c>
      <c r="B8" s="5" t="s">
        <v>85</v>
      </c>
      <c r="C8" s="5" t="s">
        <v>86</v>
      </c>
      <c r="D8" s="5" t="s">
        <v>76</v>
      </c>
      <c r="E8" s="5" t="s">
        <v>77</v>
      </c>
      <c r="F8" s="6"/>
    </row>
    <row r="9" customFormat="false" ht="15" hidden="false" customHeight="false" outlineLevel="0" collapsed="false">
      <c r="A9" s="5" t="s">
        <v>87</v>
      </c>
      <c r="B9" s="5" t="s">
        <v>88</v>
      </c>
      <c r="C9" s="5" t="s">
        <v>89</v>
      </c>
      <c r="D9" s="5" t="s">
        <v>76</v>
      </c>
      <c r="E9" s="5" t="s">
        <v>77</v>
      </c>
      <c r="F9" s="6"/>
    </row>
    <row r="10" customFormat="false" ht="23.85" hidden="false" customHeight="false" outlineLevel="0" collapsed="false">
      <c r="A10" s="5" t="s">
        <v>90</v>
      </c>
      <c r="B10" s="5" t="s">
        <v>91</v>
      </c>
      <c r="C10" s="5" t="s">
        <v>92</v>
      </c>
      <c r="D10" s="5" t="s">
        <v>93</v>
      </c>
      <c r="E10" s="5" t="s">
        <v>77</v>
      </c>
      <c r="F10" s="6" t="s">
        <v>94</v>
      </c>
    </row>
    <row r="11" customFormat="false" ht="23.85" hidden="false" customHeight="false" outlineLevel="0" collapsed="false">
      <c r="A11" s="5" t="s">
        <v>95</v>
      </c>
      <c r="B11" s="5" t="s">
        <v>96</v>
      </c>
      <c r="C11" s="5" t="s">
        <v>97</v>
      </c>
      <c r="D11" s="5" t="s">
        <v>93</v>
      </c>
      <c r="E11" s="5" t="s">
        <v>77</v>
      </c>
      <c r="F11" s="6" t="s">
        <v>98</v>
      </c>
    </row>
    <row r="12" customFormat="false" ht="23.85" hidden="false" customHeight="false" outlineLevel="0" collapsed="false">
      <c r="A12" s="5" t="s">
        <v>99</v>
      </c>
      <c r="B12" s="5" t="s">
        <v>100</v>
      </c>
      <c r="C12" s="5" t="s">
        <v>101</v>
      </c>
      <c r="D12" s="5" t="s">
        <v>93</v>
      </c>
      <c r="E12" s="5" t="s">
        <v>77</v>
      </c>
      <c r="F12" s="6"/>
    </row>
    <row r="13" customFormat="false" ht="23.85" hidden="false" customHeight="false" outlineLevel="0" collapsed="false">
      <c r="A13" s="5" t="s">
        <v>102</v>
      </c>
      <c r="B13" s="5" t="s">
        <v>103</v>
      </c>
      <c r="C13" s="5" t="s">
        <v>104</v>
      </c>
      <c r="D13" s="5" t="s">
        <v>93</v>
      </c>
      <c r="E13" s="5" t="s">
        <v>77</v>
      </c>
      <c r="F13" s="6" t="s">
        <v>105</v>
      </c>
    </row>
    <row r="14" customFormat="false" ht="23.85" hidden="false" customHeight="false" outlineLevel="0" collapsed="false">
      <c r="A14" s="5" t="s">
        <v>106</v>
      </c>
      <c r="B14" s="5" t="s">
        <v>107</v>
      </c>
      <c r="C14" s="5" t="s">
        <v>108</v>
      </c>
      <c r="D14" s="5" t="s">
        <v>93</v>
      </c>
      <c r="E14" s="5" t="s">
        <v>77</v>
      </c>
      <c r="F14" s="6" t="s">
        <v>109</v>
      </c>
    </row>
    <row r="15" customFormat="false" ht="15" hidden="false" customHeight="false" outlineLevel="0" collapsed="false">
      <c r="A15" s="5" t="s">
        <v>110</v>
      </c>
      <c r="B15" s="5" t="s">
        <v>111</v>
      </c>
      <c r="C15" s="5" t="s">
        <v>112</v>
      </c>
      <c r="D15" s="5" t="s">
        <v>93</v>
      </c>
      <c r="E15" s="5" t="s">
        <v>77</v>
      </c>
      <c r="F15" s="6"/>
    </row>
    <row r="16" customFormat="false" ht="23.85" hidden="false" customHeight="false" outlineLevel="0" collapsed="false">
      <c r="A16" s="5" t="s">
        <v>113</v>
      </c>
      <c r="B16" s="5" t="s">
        <v>114</v>
      </c>
      <c r="C16" s="5" t="s">
        <v>115</v>
      </c>
      <c r="D16" s="5" t="s">
        <v>93</v>
      </c>
      <c r="E16" s="5" t="s">
        <v>77</v>
      </c>
      <c r="F16" s="6"/>
    </row>
    <row r="17" customFormat="false" ht="15" hidden="false" customHeight="false" outlineLevel="0" collapsed="false">
      <c r="A17" s="5" t="s">
        <v>116</v>
      </c>
      <c r="B17" s="5" t="s">
        <v>117</v>
      </c>
      <c r="C17" s="5" t="s">
        <v>118</v>
      </c>
      <c r="D17" s="5" t="s">
        <v>93</v>
      </c>
      <c r="E17" s="5" t="s">
        <v>77</v>
      </c>
      <c r="F17" s="6"/>
    </row>
    <row r="18" customFormat="false" ht="23.85" hidden="false" customHeight="false" outlineLevel="0" collapsed="false">
      <c r="A18" s="5" t="s">
        <v>119</v>
      </c>
      <c r="B18" s="5" t="s">
        <v>120</v>
      </c>
      <c r="C18" s="5" t="s">
        <v>121</v>
      </c>
      <c r="D18" s="5" t="s">
        <v>122</v>
      </c>
      <c r="E18" s="5" t="s">
        <v>123</v>
      </c>
      <c r="F18" s="6"/>
    </row>
    <row r="20" customFormat="false" ht="15" hidden="false" customHeight="false" outlineLevel="0" collapsed="false">
      <c r="A20" s="17" t="s">
        <v>124</v>
      </c>
    </row>
  </sheetData>
  <dataValidations count="1">
    <dataValidation allowBlank="true" errorStyle="stop" operator="between" showDropDown="false" showErrorMessage="false" showInputMessage="false" sqref="E5:E38" type="list">
      <formula1>"Onaylandı,Ertelendi,Reddedildi"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8" min="8" style="0" width="18"/>
    <col collapsed="false" customWidth="true" hidden="false" outlineLevel="0" max="11" min="9" style="0" width="14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15" hidden="false" customHeight="false" outlineLevel="0" collapsed="false">
      <c r="A4" s="16" t="s">
        <v>2</v>
      </c>
      <c r="B4" s="16" t="s">
        <v>127</v>
      </c>
      <c r="C4" s="16" t="s">
        <v>128</v>
      </c>
      <c r="D4" s="16" t="s">
        <v>129</v>
      </c>
      <c r="E4" s="16" t="s">
        <v>5</v>
      </c>
      <c r="F4" s="16" t="s">
        <v>10</v>
      </c>
      <c r="H4" s="9" t="s">
        <v>128</v>
      </c>
      <c r="I4" s="9" t="s">
        <v>63</v>
      </c>
      <c r="J4" s="9" t="s">
        <v>61</v>
      </c>
      <c r="K4" s="9" t="s">
        <v>62</v>
      </c>
    </row>
    <row r="5" customFormat="false" ht="15" hidden="false" customHeight="false" outlineLevel="0" collapsed="false">
      <c r="A5" s="5" t="n">
        <v>1</v>
      </c>
      <c r="B5" s="5" t="s">
        <v>130</v>
      </c>
      <c r="C5" s="5" t="s">
        <v>131</v>
      </c>
      <c r="D5" s="5" t="s">
        <v>132</v>
      </c>
      <c r="E5" s="6"/>
      <c r="F5" s="6" t="s">
        <v>18</v>
      </c>
      <c r="H5" s="10" t="s">
        <v>131</v>
      </c>
      <c r="I5" s="10" t="n">
        <f aca="false">COUNTIF($C$5:$C$55,H5)</f>
        <v>12</v>
      </c>
      <c r="J5" s="10" t="n">
        <f aca="false">COUNTIFS($C$5:$C$55,H5,$F$5:$F$55,"Tamamlandı")</f>
        <v>0</v>
      </c>
      <c r="K5" s="12" t="n">
        <f aca="false">IF(I5=0,0,J5/I5)</f>
        <v>0</v>
      </c>
    </row>
    <row r="6" customFormat="false" ht="15" hidden="false" customHeight="false" outlineLevel="0" collapsed="false">
      <c r="A6" s="5" t="n">
        <v>2</v>
      </c>
      <c r="B6" s="5" t="s">
        <v>133</v>
      </c>
      <c r="C6" s="5" t="s">
        <v>131</v>
      </c>
      <c r="D6" s="5" t="s">
        <v>132</v>
      </c>
      <c r="E6" s="6"/>
      <c r="F6" s="6" t="s">
        <v>18</v>
      </c>
      <c r="H6" s="10" t="s">
        <v>134</v>
      </c>
      <c r="I6" s="10" t="n">
        <f aca="false">COUNTIF($C$5:$C$55,H6)</f>
        <v>9</v>
      </c>
      <c r="J6" s="10" t="n">
        <f aca="false">COUNTIFS($C$5:$C$55,H6,$F$5:$F$55,"Tamamlandı")</f>
        <v>0</v>
      </c>
      <c r="K6" s="12" t="n">
        <f aca="false">IF(I6=0,0,J6/I6)</f>
        <v>0</v>
      </c>
    </row>
    <row r="7" customFormat="false" ht="15" hidden="false" customHeight="false" outlineLevel="0" collapsed="false">
      <c r="A7" s="5" t="n">
        <v>3</v>
      </c>
      <c r="B7" s="5" t="s">
        <v>135</v>
      </c>
      <c r="C7" s="5" t="s">
        <v>131</v>
      </c>
      <c r="D7" s="5" t="s">
        <v>136</v>
      </c>
      <c r="E7" s="6"/>
      <c r="F7" s="6" t="s">
        <v>18</v>
      </c>
      <c r="H7" s="13" t="s">
        <v>63</v>
      </c>
      <c r="I7" s="13" t="n">
        <f aca="false">SUM(I5:I6)</f>
        <v>21</v>
      </c>
      <c r="J7" s="13" t="n">
        <f aca="false">SUM(J5:J6)</f>
        <v>0</v>
      </c>
      <c r="K7" s="15" t="n">
        <f aca="false">IF(I7=0,0,J7/I7)</f>
        <v>0</v>
      </c>
    </row>
    <row r="8" customFormat="false" ht="15" hidden="false" customHeight="false" outlineLevel="0" collapsed="false">
      <c r="A8" s="5" t="n">
        <v>4</v>
      </c>
      <c r="B8" s="5" t="s">
        <v>137</v>
      </c>
      <c r="C8" s="5" t="s">
        <v>131</v>
      </c>
      <c r="D8" s="5" t="s">
        <v>136</v>
      </c>
      <c r="E8" s="6"/>
      <c r="F8" s="6" t="s">
        <v>18</v>
      </c>
    </row>
    <row r="9" customFormat="false" ht="15" hidden="false" customHeight="false" outlineLevel="0" collapsed="false">
      <c r="A9" s="5" t="n">
        <v>5</v>
      </c>
      <c r="B9" s="5" t="s">
        <v>138</v>
      </c>
      <c r="C9" s="5" t="s">
        <v>131</v>
      </c>
      <c r="D9" s="5" t="s">
        <v>136</v>
      </c>
      <c r="E9" s="6"/>
      <c r="F9" s="6" t="s">
        <v>18</v>
      </c>
    </row>
    <row r="10" customFormat="false" ht="15" hidden="false" customHeight="false" outlineLevel="0" collapsed="false">
      <c r="A10" s="5" t="n">
        <v>6</v>
      </c>
      <c r="B10" s="5" t="s">
        <v>139</v>
      </c>
      <c r="C10" s="5" t="s">
        <v>131</v>
      </c>
      <c r="D10" s="5" t="s">
        <v>136</v>
      </c>
      <c r="E10" s="6"/>
      <c r="F10" s="6" t="s">
        <v>18</v>
      </c>
    </row>
    <row r="11" customFormat="false" ht="15" hidden="false" customHeight="false" outlineLevel="0" collapsed="false">
      <c r="A11" s="5" t="n">
        <v>7</v>
      </c>
      <c r="B11" s="5" t="s">
        <v>140</v>
      </c>
      <c r="C11" s="5" t="s">
        <v>131</v>
      </c>
      <c r="D11" s="5" t="s">
        <v>136</v>
      </c>
      <c r="E11" s="6"/>
      <c r="F11" s="6" t="s">
        <v>18</v>
      </c>
    </row>
    <row r="12" customFormat="false" ht="15" hidden="false" customHeight="false" outlineLevel="0" collapsed="false">
      <c r="A12" s="5" t="n">
        <v>8</v>
      </c>
      <c r="B12" s="5" t="s">
        <v>50</v>
      </c>
      <c r="C12" s="5" t="s">
        <v>131</v>
      </c>
      <c r="D12" s="5" t="s">
        <v>136</v>
      </c>
      <c r="E12" s="6"/>
      <c r="F12" s="6" t="s">
        <v>18</v>
      </c>
    </row>
    <row r="13" customFormat="false" ht="15" hidden="false" customHeight="false" outlineLevel="0" collapsed="false">
      <c r="A13" s="5" t="n">
        <v>9</v>
      </c>
      <c r="B13" s="5" t="s">
        <v>141</v>
      </c>
      <c r="C13" s="5" t="s">
        <v>131</v>
      </c>
      <c r="D13" s="5" t="s">
        <v>136</v>
      </c>
      <c r="E13" s="6"/>
      <c r="F13" s="6" t="s">
        <v>18</v>
      </c>
    </row>
    <row r="14" customFormat="false" ht="15" hidden="false" customHeight="false" outlineLevel="0" collapsed="false">
      <c r="A14" s="5" t="n">
        <v>10</v>
      </c>
      <c r="B14" s="5" t="s">
        <v>142</v>
      </c>
      <c r="C14" s="5" t="s">
        <v>131</v>
      </c>
      <c r="D14" s="5" t="s">
        <v>136</v>
      </c>
      <c r="E14" s="6"/>
      <c r="F14" s="6" t="s">
        <v>18</v>
      </c>
    </row>
    <row r="15" customFormat="false" ht="15" hidden="false" customHeight="false" outlineLevel="0" collapsed="false">
      <c r="A15" s="5" t="n">
        <v>11</v>
      </c>
      <c r="B15" s="5" t="s">
        <v>143</v>
      </c>
      <c r="C15" s="5" t="s">
        <v>131</v>
      </c>
      <c r="D15" s="5" t="s">
        <v>136</v>
      </c>
      <c r="E15" s="6"/>
      <c r="F15" s="6" t="s">
        <v>18</v>
      </c>
    </row>
    <row r="16" customFormat="false" ht="15" hidden="false" customHeight="false" outlineLevel="0" collapsed="false">
      <c r="A16" s="5" t="n">
        <v>12</v>
      </c>
      <c r="B16" s="5" t="s">
        <v>144</v>
      </c>
      <c r="C16" s="5" t="s">
        <v>131</v>
      </c>
      <c r="D16" s="5" t="s">
        <v>136</v>
      </c>
      <c r="E16" s="6"/>
      <c r="F16" s="6" t="s">
        <v>18</v>
      </c>
    </row>
    <row r="17" customFormat="false" ht="15" hidden="false" customHeight="false" outlineLevel="0" collapsed="false">
      <c r="A17" s="5" t="n">
        <v>13</v>
      </c>
      <c r="B17" s="5" t="s">
        <v>145</v>
      </c>
      <c r="C17" s="5" t="s">
        <v>134</v>
      </c>
      <c r="D17" s="5" t="s">
        <v>136</v>
      </c>
      <c r="E17" s="6"/>
      <c r="F17" s="6" t="s">
        <v>18</v>
      </c>
    </row>
    <row r="18" customFormat="false" ht="15" hidden="false" customHeight="false" outlineLevel="0" collapsed="false">
      <c r="A18" s="5" t="n">
        <v>14</v>
      </c>
      <c r="B18" s="5" t="s">
        <v>146</v>
      </c>
      <c r="C18" s="5" t="s">
        <v>134</v>
      </c>
      <c r="D18" s="5" t="s">
        <v>136</v>
      </c>
      <c r="E18" s="6"/>
      <c r="F18" s="6" t="s">
        <v>18</v>
      </c>
    </row>
    <row r="19" customFormat="false" ht="15" hidden="false" customHeight="false" outlineLevel="0" collapsed="false">
      <c r="A19" s="5" t="n">
        <v>15</v>
      </c>
      <c r="B19" s="5" t="s">
        <v>147</v>
      </c>
      <c r="C19" s="5" t="s">
        <v>134</v>
      </c>
      <c r="D19" s="5" t="s">
        <v>136</v>
      </c>
      <c r="E19" s="6"/>
      <c r="F19" s="6" t="s">
        <v>18</v>
      </c>
    </row>
    <row r="20" customFormat="false" ht="15" hidden="false" customHeight="false" outlineLevel="0" collapsed="false">
      <c r="A20" s="5" t="n">
        <v>16</v>
      </c>
      <c r="B20" s="5" t="s">
        <v>148</v>
      </c>
      <c r="C20" s="5" t="s">
        <v>134</v>
      </c>
      <c r="D20" s="5" t="s">
        <v>136</v>
      </c>
      <c r="E20" s="6"/>
      <c r="F20" s="6" t="s">
        <v>18</v>
      </c>
    </row>
    <row r="21" customFormat="false" ht="15" hidden="false" customHeight="false" outlineLevel="0" collapsed="false">
      <c r="A21" s="5" t="n">
        <v>17</v>
      </c>
      <c r="B21" s="5" t="s">
        <v>149</v>
      </c>
      <c r="C21" s="5" t="s">
        <v>134</v>
      </c>
      <c r="D21" s="5" t="s">
        <v>136</v>
      </c>
      <c r="E21" s="6"/>
      <c r="F21" s="6" t="s">
        <v>18</v>
      </c>
    </row>
    <row r="22" customFormat="false" ht="15" hidden="false" customHeight="false" outlineLevel="0" collapsed="false">
      <c r="A22" s="5" t="n">
        <v>18</v>
      </c>
      <c r="B22" s="5" t="s">
        <v>150</v>
      </c>
      <c r="C22" s="5" t="s">
        <v>134</v>
      </c>
      <c r="D22" s="5" t="s">
        <v>136</v>
      </c>
      <c r="E22" s="6"/>
      <c r="F22" s="6" t="s">
        <v>18</v>
      </c>
    </row>
    <row r="23" customFormat="false" ht="15" hidden="false" customHeight="false" outlineLevel="0" collapsed="false">
      <c r="A23" s="5" t="n">
        <v>19</v>
      </c>
      <c r="B23" s="5" t="s">
        <v>151</v>
      </c>
      <c r="C23" s="5" t="s">
        <v>134</v>
      </c>
      <c r="D23" s="5" t="s">
        <v>136</v>
      </c>
      <c r="E23" s="6"/>
      <c r="F23" s="6" t="s">
        <v>18</v>
      </c>
    </row>
    <row r="24" customFormat="false" ht="15" hidden="false" customHeight="false" outlineLevel="0" collapsed="false">
      <c r="A24" s="5" t="n">
        <v>20</v>
      </c>
      <c r="B24" s="5" t="s">
        <v>152</v>
      </c>
      <c r="C24" s="5" t="s">
        <v>134</v>
      </c>
      <c r="D24" s="5" t="s">
        <v>136</v>
      </c>
      <c r="E24" s="6"/>
      <c r="F24" s="6" t="s">
        <v>18</v>
      </c>
    </row>
    <row r="25" customFormat="false" ht="15" hidden="false" customHeight="false" outlineLevel="0" collapsed="false">
      <c r="A25" s="5" t="n">
        <v>21</v>
      </c>
      <c r="B25" s="5" t="s">
        <v>153</v>
      </c>
      <c r="C25" s="5" t="s">
        <v>134</v>
      </c>
      <c r="D25" s="5" t="s">
        <v>136</v>
      </c>
      <c r="E25" s="6"/>
      <c r="F25" s="6" t="s">
        <v>18</v>
      </c>
    </row>
  </sheetData>
  <dataValidations count="2">
    <dataValidation allowBlank="true" errorStyle="stop" operator="between" showDropDown="false" showErrorMessage="false" showInputMessage="false" sqref="E5:E55" type="list">
      <formula1>"Abdulbaki,Buğra,İkisi"</formula1>
      <formula2>0</formula2>
    </dataValidation>
    <dataValidation allowBlank="true" errorStyle="stop" operator="between" showDropDown="false" showErrorMessage="false" showInputMessage="false" sqref="F5:F55" type="list">
      <formula1>"Yapılacak,Devam ediyor,Tamamlandı"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2026-10-10T12:15:53Z</dcterms:created>
  <dc:creator>openpyxl</dc:creator>
  <dc:description/>
  <dc:language>en-US</dc:language>
  <cp:lastModifiedBy/>
  <dcterms:modified xsi:type="dcterms:W3CDTF">2026-10-10T12:15:53Z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